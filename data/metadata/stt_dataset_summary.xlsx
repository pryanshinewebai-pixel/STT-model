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T Audio &amp; Transcrip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color rgb="000000FF"/>
      <sz val="11"/>
      <u val="single"/>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center"/>
    </xf>
    <xf numFmtId="0" fontId="2" fillId="0" borderId="0" applyAlignment="1" pivotButton="0" quotePrefix="0" xfId="0">
      <alignment horizontal="center"/>
    </xf>
    <xf numFmtId="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8" customWidth="1" min="1" max="1"/>
    <col width="30" customWidth="1" min="2" max="2"/>
    <col width="28" customWidth="1" min="3" max="3"/>
    <col width="25" customWidth="1" min="4" max="4"/>
    <col width="15" customWidth="1" min="5" max="5"/>
    <col width="80" customWidth="1" min="6" max="6"/>
  </cols>
  <sheetData>
    <row r="1">
      <c r="A1" s="1" t="inlineStr">
        <is>
          <t>S.No</t>
        </is>
      </c>
      <c r="B1" s="1" t="inlineStr">
        <is>
          <t>Play Audio (Click to Listen)</t>
        </is>
      </c>
      <c r="C1" s="1" t="inlineStr">
        <is>
          <t>Audio File Name</t>
        </is>
      </c>
      <c r="D1" s="1" t="inlineStr">
        <is>
          <t>Language</t>
        </is>
      </c>
      <c r="E1" s="1" t="inlineStr">
        <is>
          <t>Duration (sec)</t>
        </is>
      </c>
      <c r="F1" s="1" t="inlineStr">
        <is>
          <t>Transcribed Native Text</t>
        </is>
      </c>
    </row>
    <row r="2">
      <c r="A2" s="2" t="n">
        <v>1</v>
      </c>
      <c r="B2" s="3">
        <f>HYPERLINK("file:///Users/commerciax/proprietary_stt_model/data/processed/wav/eng1_11_12_clean.wav", "▶️ Play eng1_11_12_clean.wav")</f>
        <v/>
      </c>
      <c r="C2" t="inlineStr">
        <is>
          <t>eng1_11_12_clean.wav</t>
        </is>
      </c>
      <c r="D2" t="inlineStr">
        <is>
          <t>English 🇬🇧</t>
        </is>
      </c>
      <c r="E2" s="4" t="n">
        <v>57.92</v>
      </c>
      <c r="F2" t="inlineStr">
        <is>
          <t>she sells seashells by the seashore red Lori yellow Lori Peter Piper picked a pic of people papers how much would a woodchuck chuck fresh French fried fish my name is same as a m please spell it for me t h o m a s the city is posted b o s t o n my email start with j o h n the website is www.example.com</t>
        </is>
      </c>
    </row>
    <row r="3">
      <c r="A3" s="2" t="n">
        <v>2</v>
      </c>
      <c r="B3" s="3">
        <f>HYPERLINK("file:///Users/commerciax/proprietary_stt_model/data/processed/wav/eng1_13_14_clean.wav", "▶️ Play eng1_13_14_clean.wav")</f>
        <v/>
      </c>
      <c r="C3" t="inlineStr">
        <is>
          <t>eng1_13_14_clean.wav</t>
        </is>
      </c>
      <c r="D3" t="inlineStr">
        <is>
          <t>English 🇬🇧</t>
        </is>
      </c>
      <c r="E3" s="4" t="n">
        <v>41.344</v>
      </c>
      <c r="F3" t="inlineStr">
        <is>
          <t>you came this is a great I really don't like this oh no I am late again describe your morning routine talk about your favourite food and how it made tell a short story about a trip you remember describe your house or your neighbourhood what do you like to do on a weekends talk about a movie song or a book you like explain how you get to work for a school what would you change about your city if you could</t>
        </is>
      </c>
    </row>
    <row r="4">
      <c r="A4" s="2" t="n">
        <v>3</v>
      </c>
      <c r="B4" s="3">
        <f>HYPERLINK("file:///Users/commerciax/proprietary_stt_model/data/processed/wav/eng1_1_2_clean.wav", "▶️ Play eng1_1_2_clean.wav")</f>
        <v/>
      </c>
      <c r="C4" t="inlineStr">
        <is>
          <t>eng1_1_2_clean.wav</t>
        </is>
      </c>
      <c r="D4" t="inlineStr">
        <is>
          <t>English 🇬🇧</t>
        </is>
      </c>
      <c r="E4" s="4" t="n">
        <v>63.264</v>
      </c>
      <c r="F4" t="inlineStr">
        <is>
          <t>water table morning market doctor bicycle window yellow music tomorrow ship ship the ship is near the ship leave I leave the house and leave nearby is on the bed cut the cat set on the coat pant put the pain independent has a team box very very the very sweet very made him very right light right turn on the light and write the write BF full full the door ship the ship ship</t>
        </is>
      </c>
    </row>
    <row r="5">
      <c r="A5" s="2" t="n">
        <v>4</v>
      </c>
      <c r="B5" s="3">
        <f>HYPERLINK("file:///Users/commerciax/proprietary_stt_model/data/processed/wav/eng1_3_4_clean.wav", "▶️ Play eng1_3_4_clean.wav")</f>
        <v/>
      </c>
      <c r="C5" t="inlineStr">
        <is>
          <t>eng1_3_4_clean.wav</t>
        </is>
      </c>
      <c r="D5" t="inlineStr">
        <is>
          <t>English 🇬🇧</t>
        </is>
      </c>
      <c r="E5" s="4" t="n">
        <v>89.312</v>
      </c>
      <c r="F5" t="inlineStr">
        <is>
          <t>9876 543 21070 12345678 44190 62853 4110001 307 275 502 194 the ticket cost 300350 for the phone my birthday is on November 4th the office opens on one day the fourth the first live at the quarter past 6 please come at half past 9 dinner is at 7:45 litres of milk and a dozen eggs it is about 40 km from here the shop give 20% of it was 2019 When We moved she is 33 years</t>
        </is>
      </c>
    </row>
    <row r="6">
      <c r="A6" s="2" t="n">
        <v>5</v>
      </c>
      <c r="B6" s="3">
        <f>HYPERLINK("file:///Users/commerciax/proprietary_stt_model/data/processed/wav/eng1_5_6_clean.wav", "▶️ Play eng1_5_6_clean.wav")</f>
        <v/>
      </c>
      <c r="C6" t="inlineStr">
        <is>
          <t>eng1_5_6_clean.wav</t>
        </is>
      </c>
      <c r="D6" t="inlineStr">
        <is>
          <t>English 🇬🇧</t>
        </is>
      </c>
      <c r="E6" s="4" t="n">
        <v>83.648</v>
      </c>
      <c r="F6" t="inlineStr">
        <is>
          <t>my name is Aaron Michael Michael Michael Michael Michael this is my sister Priya Sharma please call David or Emily we are flying to London next week he lives in Pune near the river the train goes from Delhi to Mumbai I visited Paris Rome and Tokyo last year let's meet at the central library her office is on Park Street in Kolkata the nearest Airport is in Chennai I want a cup of tea with no sugar do you have this t-shirt in bigger size where is the bathroom can I get the bill please the rice is little to spices and toothpaste please open the window on the kitchen table can you put this in a paper bag the fridge is almost empty I forget my umbrella at home how much is 1 kilo of</t>
        </is>
      </c>
    </row>
    <row r="7">
      <c r="A7" s="2" t="n">
        <v>6</v>
      </c>
      <c r="B7" s="3">
        <f>HYPERLINK("file:///Users/commerciax/proprietary_stt_model/data/processed/wav/eng1_7_8_clean.wav", "▶️ Play eng1_7_8_clean.wav")</f>
        <v/>
      </c>
      <c r="C7" t="inlineStr">
        <is>
          <t>eng1_7_8_clean.wav</t>
        </is>
      </c>
      <c r="D7" t="inlineStr">
        <is>
          <t>English 🇬🇧</t>
        </is>
      </c>
      <c r="E7" s="4" t="n">
        <v>72.896</v>
      </c>
      <c r="F7" t="inlineStr">
        <is>
          <t>which platform does the train live from turn left at the traffic light go straight for the 100 M is this right way to the station I would like to Windows set please how long does the journey take stop here please the road is closed because of the train where I can buy a bus ticket my flight was delayed by an hour turn on the light turn off the fan play some music pause the video set the alarm for 6:30 call mum send a message to John read my new message what is the time make the screen brightness show me the way home bread to my shopping list</t>
        </is>
      </c>
    </row>
    <row r="8">
      <c r="A8" s="2" t="n">
        <v>7</v>
      </c>
      <c r="B8" s="3">
        <f>HYPERLINK("file:///Users/commerciax/proprietary_stt_model/data/processed/wav/eng1_9_10_clean.wav", "▶️ Play eng1_9_10_clean.wav")</f>
        <v/>
      </c>
      <c r="C8" t="inlineStr">
        <is>
          <t>eng1_9_10_clean.wav</t>
        </is>
      </c>
      <c r="D8" t="inlineStr">
        <is>
          <t>English 🇬🇧</t>
        </is>
      </c>
      <c r="E8" s="4" t="n">
        <v>85.21599999999999</v>
      </c>
      <c r="F8" t="inlineStr">
        <is>
          <t>hi how are you I am fine thanks and you what did you today I can't come today I am sorry that sounds like a good idea I don't know the answer could you say that one more time let's have lunch together I will call you later tonight thank you so much for your help last weekend we went to the market but some fruit and vegetables and then had lunch at a small cafe near the lake if it's rain tomorrow we will stay at home and watch a movie instead of going Park my brother works at a bank and he usually gets home around 7 in the evening and now I can make simple dishes and like pasta and fried rice playing in the garden while their parents were talking about when you reach the corner you will see a blue building next to a small Bak</t>
        </is>
      </c>
    </row>
    <row r="9">
      <c r="A9" s="2" t="n">
        <v>8</v>
      </c>
      <c r="B9" s="3">
        <f>HYPERLINK("file:///Users/commerciax/proprietary_stt_model/data/processed/wav/eng2_11_12_clean.wav", "▶️ Play eng2_11_12_clean.wav")</f>
        <v/>
      </c>
      <c r="C9" t="inlineStr">
        <is>
          <t>eng2_11_12_clean.wav</t>
        </is>
      </c>
      <c r="D9" t="inlineStr">
        <is>
          <t>English 🇬🇧</t>
        </is>
      </c>
      <c r="E9" s="4" t="n">
        <v>92.58499999999999</v>
      </c>
      <c r="F9" t="inlineStr">
        <is>
          <t>who is coming to the party what time does the store closed when will the parcel arrive where did you put the charger why is the page not loading how do you reset my password which bus goes to the airport how many people are there in the room whose bag is this what is the best way to get home there is there any milk left are you free this evening woke up early on Saturday he made a cup of coffee and set by the window outside the street was quite and light rain was falling the library is open from 9 in the morning to 6 in the evening you can borrow a five books at a time please return them within the two weeks to make a tea first boys on water put it back in the cup and for the hot water over it wait for 3 minutes then add milk if you like it takes about 45 minutes stops at four station on the way tickets can be bought at the counter or on your phone</t>
        </is>
      </c>
    </row>
    <row r="10">
      <c r="A10" s="2" t="n">
        <v>9</v>
      </c>
      <c r="B10" s="3">
        <f>HYPERLINK("file:///Users/commerciax/proprietary_stt_model/data/processed/wav/eng2_13_14_clean.wav", "▶️ Play eng2_13_14_clean.wav")</f>
        <v/>
      </c>
      <c r="C10" t="inlineStr">
        <is>
          <t>eng2_13_14_clean.wav</t>
        </is>
      </c>
      <c r="D10" t="inlineStr">
        <is>
          <t>English 🇬🇧</t>
        </is>
      </c>
      <c r="E10" s="4" t="n">
        <v>68.544</v>
      </c>
      <c r="F10" t="inlineStr">
        <is>
          <t>I think we should leave a bit earlier while it's your you know not that far from your I mean it was ok but not a great wait no I mean Tuesday not weds day so like I went there and nobody was home it's ok about let me think maybe 10 minutes away sorry can you repeat the last part actually let's make it 7 not 6 I am not sure I will have the track that's fine go ahead explain how to make your favourite snack or a drink describe the last time you went shopping talk about a person who was help</t>
        </is>
      </c>
    </row>
    <row r="11">
      <c r="A11" s="2" t="n">
        <v>10</v>
      </c>
      <c r="B11" s="3">
        <f>HYPERLINK("file:///Users/commerciax/proprietary_stt_model/data/processed/wav/eng2_1_2_clean.wav", "▶️ Play eng2_1_2_clean.wav")</f>
        <v/>
      </c>
      <c r="C11" t="inlineStr">
        <is>
          <t>eng2_1_2_clean.wav</t>
        </is>
      </c>
      <c r="D11" t="inlineStr">
        <is>
          <t>English 🇬🇧</t>
        </is>
      </c>
      <c r="E11" s="4" t="n">
        <v>75.072</v>
      </c>
      <c r="F11" t="inlineStr">
        <is>
          <t>computer umbrella vegetable question elevator chocolate newspaper Hospital calendar battery the price is 4.5 81 and a half cup of flour she finished in second place today is 21st of the month this building was made in 1998 the shop the shop open in 2027 three quarter of the class passed the temperature drop to minus 2 degree 10.2 km it is in third floor it is the third floor Room number 312 about 65% of people a great the back with 2.8 kg</t>
        </is>
      </c>
    </row>
    <row r="12">
      <c r="A12" s="2" t="n">
        <v>11</v>
      </c>
      <c r="B12" s="3">
        <f>HYPERLINK("file:///Users/commerciax/proprietary_stt_model/data/processed/wav/eng2_3_4_clean.wav", "▶️ Play eng2_3_4_clean.wav")</f>
        <v/>
      </c>
      <c r="C12" t="inlineStr">
        <is>
          <t>eng2_3_4_clean.wav</t>
        </is>
      </c>
      <c r="D12" t="inlineStr">
        <is>
          <t>English 🇬🇧</t>
        </is>
      </c>
      <c r="E12" s="4" t="n">
        <v>63.264</v>
      </c>
      <c r="F12" t="inlineStr">
        <is>
          <t>ATM PDF USP CEO Saqib card GPS w h o s m s VIP my address is 12 green Lane apartment for B send it to Maria dot Lopez at example.com the email is in 4.80 Go to www slash help my username is Kevin underscore Ray 99 the zip code is 90210 please write to 45 oak road leads the link and ends with comes</t>
        </is>
      </c>
    </row>
    <row r="13">
      <c r="A13" s="2" t="n">
        <v>12</v>
      </c>
      <c r="B13" s="3">
        <f>HYPERLINK("file:///Users/commerciax/proprietary_stt_model/data/processed/wav/eng2_5_6_clean.wav", "▶️ Play eng2_5_6_clean.wav")</f>
        <v/>
      </c>
      <c r="C13" t="inlineStr">
        <is>
          <t>eng2_5_6_clean.wav</t>
        </is>
      </c>
      <c r="D13" t="inlineStr">
        <is>
          <t>English 🇬🇧</t>
        </is>
      </c>
      <c r="E13" s="4" t="n">
        <v>87.136</v>
      </c>
      <c r="F13" t="inlineStr">
        <is>
          <t>the meeting starts in 5 minutes please send me the report by noon I will share my screen now can we move the call to Thursday she is on leave until next Monday the team finish the work the team finish the project early I need to print two copies of this page let's check the schedule for next week he is working from home today please sign the form at the bottom the deadline is the end of the month I will get back to you after lunch open your books to page 40 who knows the answer to this question the exam will be on Friday morning I forget to bring my notebook She reads a story to the class everyday please write your name at the top we have a science test next week the teacher give us some work he learn to count up to 100 practice a little everyday and you will improve</t>
        </is>
      </c>
    </row>
    <row r="14">
      <c r="A14" s="2" t="n">
        <v>13</v>
      </c>
      <c r="B14" s="3">
        <f>HYPERLINK("file:///Users/commerciax/proprietary_stt_model/data/processed/wav/eng2_7_8_clean.wav", "▶️ Play eng2_7_8_clean.wav")</f>
        <v/>
      </c>
      <c r="C14" t="inlineStr">
        <is>
          <t>eng2_7_8_clean.wav</t>
        </is>
      </c>
      <c r="D14" t="inlineStr">
        <is>
          <t>English 🇬🇧</t>
        </is>
      </c>
      <c r="E14" s="4" t="n">
        <v>86.27200000000001</v>
      </c>
      <c r="F14" t="inlineStr">
        <is>
          <t>I would like to check my account balance my car was declared declared at the shop please transfer the money today I want to report a lost card how long will the refund take can I speak to a manager I have a problem with my order my package has not arrived yet I would like to change my delivery address thank you for calling how can I help you please hold for a moment your request has been received its look like it will rain this evening the sky is clear and the sun is brighter a cold wind is blowing from North there was heavy work on the road this morning the river is very high after the storm leaves turn red and yellow in autumn it will be a warm and a Sunny all weekend the garden is full of flowers and spring a big free fire during the night the mountain were covered with</t>
        </is>
      </c>
    </row>
    <row r="15">
      <c r="A15" s="2" t="n">
        <v>14</v>
      </c>
      <c r="B15" s="3">
        <f>HYPERLINK("file:///Users/commerciax/proprietary_stt_model/data/processed/wav/eng2_9_10_clean.wav", "▶️ Play eng2_9_10_clean.wav")</f>
        <v/>
      </c>
      <c r="C15" t="inlineStr">
        <is>
          <t>eng2_9_10_clean.wav</t>
        </is>
      </c>
      <c r="D15" t="inlineStr">
        <is>
          <t>English 🇬🇧</t>
        </is>
      </c>
      <c r="E15" s="4" t="n">
        <v>65.664</v>
      </c>
      <c r="F15" t="inlineStr">
        <is>
          <t>our team won the match by two goals he play football every Sunday I like to print and draw in my free time she goes swimming three times a week let's play card after dinner the race start at 8:00 I am learning to play the guitar they went hiking on the event hiking in hills my hobby is taking photos of birds he scored the last point of the game open the camera take a photo turn on a Flashlight turn off wi-fi increase the font size scan this document share this picture with Sarah delete the last message search for coffee shop near me show me my downloads update all my</t>
        </is>
      </c>
    </row>
    <row r="16">
      <c r="A16" s="2" t="n">
        <v>15</v>
      </c>
      <c r="B16" s="3">
        <f>HYPERLINK("file:///Users/commerciax/proprietary_stt_model/data/processed/wav/guj1_1_2_clean.wav", "▶️ Play guj1_1_2_clean.wav")</f>
        <v/>
      </c>
      <c r="C16" t="inlineStr">
        <is>
          <t>guj1_1_2_clean.wav</t>
        </is>
      </c>
      <c r="D16" t="inlineStr">
        <is>
          <t>Gujarati 🇮🇳 (ગુજરાતી)</t>
        </is>
      </c>
      <c r="E16" s="4" t="n">
        <v>88.44799999999999</v>
      </c>
      <c r="F16" t="inlineStr">
        <is>
          <t>ડેસ્ક ઓપન કરો એની ડેસ્ક બંધ કરો. શું એની ચાલુ છે બ્રેવ ખોલો બ્રેવ બ્રાઉઝર બંધ કરો. સફારી પર જાઓ સફારી બંધ કરો. વોટ્સએપ ખોલો વોટ્સએપ બંધ કરો. સ્લેક ખોલો સ્લેક અને નોન બંધ કરો. નોન ખોલો પોસ્ટમેન ચાલુ કરો. પોસ્ટમેન બંધ કરો. વી એલ સી ખોલો મહેરબાની કરીને વીએલસી બંધ કરો પ્રોટોન વીપીએન ચાલુ કરો. પ્રોટોન વીપીએન બંધ કરો. વિઝ્યુઅલ સ્ટુડિયો કોડ ખોલો એક્સ કોડ બંધ કરો. કર સરખો કરો. ગુગલે ક્રોમ બંધ કરો માઈક્રોસોફ્ટ આઉટલુક ખોલો માઈક્રોસોફ્ટ વર્ડ બંધ કરો. કીડી કન્સેપ્ટ ખોલો કેડી કનેક્ટ ખોલો ચેટ જીપીટી બંધ કરો. એપ્સ સ્ટોર ખોલો ફાઇન્ડર ની વિન્ડો બંધ કરો. બ્રેવ અને સફારી બંધ કરો અને સફારી નિબંધ કરી દો. બંને બંધ કરી દો. બે અને સફારી સ્લેક અને વોટ્સએપ બંધ કરો. એની ડેસ્ક અને પોસ્ટમેન બંધ કરો. સફારી બ્રેવ અને ક્રોમ બંધ કરો સફારી સિવાય બધું બંધ કરો. મારા બધા બ્રાઉઝર બંધ કરો. પહેલા બંધ કરો બીજું નહીં. મહેરબાની કરીને બંને</t>
        </is>
      </c>
    </row>
    <row r="17">
      <c r="A17" s="2" t="n">
        <v>16</v>
      </c>
      <c r="B17" s="3">
        <f>HYPERLINK("file:///Users/commerciax/proprietary_stt_model/data/processed/wav/guj1_3_4_clean.wav", "▶️ Play guj1_3_4_clean.wav")</f>
        <v/>
      </c>
      <c r="C17" t="inlineStr">
        <is>
          <t>guj1_3_4_clean.wav</t>
        </is>
      </c>
      <c r="D17" t="inlineStr">
        <is>
          <t>Gujarati 🇮🇳 (ગુજરાતી)</t>
        </is>
      </c>
      <c r="E17" s="4" t="n">
        <v>61.024</v>
      </c>
      <c r="F17" t="inlineStr">
        <is>
          <t>અત્યારે શું ચાલી રહ્યું છે અવાજ મ્યુટ કરો. અવાજ થોડો વધારો સ્ક્રીનશોટ લો સ્ક્રીન લોક કરો. બેટરી કેટલી છે સ્લીપ મોડ માં જાઓ એ રદ કરો હા આગળ વધો ના અટકી જાઓ રહેવા દો. ફરી કરો. ફરી થી કરો 15 મિનિટનો ટાઈમ સેટ કરો. 4:30 વાગે મને યાદ અપાવજો 23 મી તારીખે મારા કેલેન્ડરમાં શું છે કાલે સવારે 7:45 વાગ્યે મને જગાડજો તમે કિંમત 2400 રૂપિયા છે તેની કિંમત 2400 રૂપિયા છે લગભગ 20 મિનિટમાં મને પાછો ફોન કરજો. મિટિંગ શુક્રવાર ત્રીજી તારીખે ખસેડી છે એ 19 દશાંશ 5% છે મારી ફ્લાઈટ રાત્રે 11:05 વાગે છે 32 અને 48 ને</t>
        </is>
      </c>
    </row>
    <row r="18">
      <c r="A18" s="2" t="n">
        <v>17</v>
      </c>
      <c r="B18" s="3">
        <f>HYPERLINK("file:///Users/commerciax/proprietary_stt_model/data/processed/wav/guj1_5_clean.wav", "▶️ Play guj1_5_clean.wav")</f>
        <v/>
      </c>
      <c r="C18" t="inlineStr">
        <is>
          <t>guj1_5_clean.wav</t>
        </is>
      </c>
      <c r="D18" t="inlineStr">
        <is>
          <t>Gujarati 🇮🇳 (ગુજરાતી)</t>
        </is>
      </c>
      <c r="E18" s="4" t="n">
        <v>44.096</v>
      </c>
      <c r="F18" t="inlineStr">
        <is>
          <t>આજે હવામાન કેવું છે શું તમે મને તેનો સારાંશ આપી શકો તમે હમણાં જે કહ્યું તે મને સમજાયું નહીં ફરીથી કહો થોડું ધીમેથી ગઈકાલે રાત્રે તમને શું પૂછ્યું હતું આપણે આ વિશે શું નક્કી કર્યું હતું એ યાદ અપાવજો છેલ્લો મેસેજ મને કોણ કોણે મોકલ્યો ગઈકાલે રાત્રે હું જે ફાઈલ પર કામ કરતી હતી તે શોધી આપો પહેલું વાંચીને સંભળાવો ખરેખર રહેવા દો એના બદલે બીજું કામ કરો. મારો મતલબ એ હતો માફ કરજો મારો મતલબ બ્રાઉઝર હતો એડિટર નહીં</t>
        </is>
      </c>
    </row>
    <row r="19">
      <c r="A19" s="2" t="n">
        <v>18</v>
      </c>
      <c r="B19" s="3">
        <f>HYPERLINK("file:///Users/commerciax/proprietary_stt_model/data/processed/wav/guj2_11_12_clean.wav", "▶️ Play guj2_11_12_clean.wav")</f>
        <v/>
      </c>
      <c r="C19" t="inlineStr">
        <is>
          <t>guj2_11_12_clean.wav</t>
        </is>
      </c>
      <c r="D19" t="inlineStr">
        <is>
          <t>Gujarati 🇮🇳 (ગુજરાતી)</t>
        </is>
      </c>
      <c r="E19" s="4" t="n">
        <v>40.704</v>
      </c>
      <c r="F19" t="inlineStr">
        <is>
          <t>મારું નામ સિરાજે સ એર આ અમદાવાદ અમદાવાદ ગુજરાત મારા ઇમેલ ના એસ ઇ આર એટલે કે સેરા છે વેબસાઈટ www.xx એ એમ પી એલ ઇ ડોટ કો એમ તમે આવી ગયા વાત તો ખૂબ સરસ છે મને બિલકુલ ન ગમ્યું અરે ફરીથી મોડું થઈ</t>
        </is>
      </c>
    </row>
    <row r="20">
      <c r="A20" s="2" t="n">
        <v>19</v>
      </c>
      <c r="B20" s="3">
        <f>HYPERLINK("file:///Users/commerciax/proprietary_stt_model/data/processed/wav/guj2_1_2_clean.wav", "▶️ Play guj2_1_2_clean.wav")</f>
        <v/>
      </c>
      <c r="C20" t="inlineStr">
        <is>
          <t>guj2_1_2_clean.wav</t>
        </is>
      </c>
      <c r="D20" t="inlineStr">
        <is>
          <t>Gujarati 🇮🇳 (ગુજરાતી)</t>
        </is>
      </c>
      <c r="E20" s="4" t="n">
        <v>47.84</v>
      </c>
      <c r="F20" t="inlineStr">
        <is>
          <t>પાણી ઘર ચા રસ્તો ખુરશી વિદ્યાર્થી ગાડી બજાર આકાશ મોબાઈલ ખેડૂત ખેતરમાં હળ ચલાવે છે ઘડિયાળમાં ઠીક ઠીક ટકોરા પડ્યા. છોકરાઓ ઝાડ પર ચડી ફળ તોડે છે ભગવાને ધૂપ અને દીવો ધરાવ્યો બાળકો ઢોલ અને ઢોલકના તાલે નાચ્યા ઠંડો પવન ફૂંકાતા પાંદડા ખરી પડ્યા મારી પાસે જ્ઞાન ધ્યાન અને ધીરજ ત્રણે છે કૃષ્ણ અને ઋષિની વાર્તા દાદીએ સંભળાવી શ્રાવણ મહિનામાં શ્રદ્ધાળુ શિવ મંદિરે જાય છે નડિયાદ મકાનમાં</t>
        </is>
      </c>
    </row>
    <row r="21">
      <c r="A21" s="2" t="n">
        <v>20</v>
      </c>
      <c r="B21" s="3">
        <f>HYPERLINK("file:///Users/commerciax/proprietary_stt_model/data/processed/wav/guj2_3_4_clean.wav", "▶️ Play guj2_3_4_clean.wav")</f>
        <v/>
      </c>
      <c r="C21" t="inlineStr">
        <is>
          <t>guj2_3_4_clean.wav</t>
        </is>
      </c>
      <c r="D21" t="inlineStr">
        <is>
          <t>Gujarati 🇮🇳 (ગુજરાતી)</t>
        </is>
      </c>
      <c r="E21" s="4" t="n">
        <v>80.83199999999999</v>
      </c>
      <c r="F21" t="inlineStr">
        <is>
          <t>ફોન નંબર 9825 78 78 65 43 21 4 7 2 917 07 3 5 6 1 3 8 0 0 0 0 1 3 9 5 0 0 7:00 gj05 એ બી 1 2 3 4 2 3 4 5 6 7 8 9 0 1 2 3 મારું બિલ 1,850 આવ્યો. તેણે 11:30 લાખ રૂપિયાની માં જમીન વેચી આજે તારીખ 15 ઓગસ્ટ છે પરીક્ષા બે માર્ચથી શરૂ થશે ટ્રેન સાંજે 7:30 એ ઉપર છે સવારે 7:30 વાગ્યે મીટીંગ છે બપોરે 2:30 વાગે ફોન કરજો આ કાપડ અઢી મીટર જોઈએ છે તાપમાન 35 ડિગ્રી સુધી પહોંચવું દુકાનમાં ત્રણ કિલો બટેટા અને દોઢ કિલો ડુંગળી લીધી. વ્યાજનો દર 10:30 છે અમદાવાદ થી રાજકોટ લગભગ 200</t>
        </is>
      </c>
    </row>
    <row r="22">
      <c r="A22" s="2" t="n">
        <v>21</v>
      </c>
      <c r="B22" s="3">
        <f>HYPERLINK("file:///Users/commerciax/proprietary_stt_model/data/processed/wav/guj2_5_6_clean.wav", "▶️ Play guj2_5_6_clean.wav")</f>
        <v/>
      </c>
      <c r="C22" t="inlineStr">
        <is>
          <t>guj2_5_6_clean.wav</t>
        </is>
      </c>
      <c r="D22" t="inlineStr">
        <is>
          <t>Gujarati 🇮🇳 (ગુજરાતી)</t>
        </is>
      </c>
      <c r="E22" s="4" t="n">
        <v>85.88800000000001</v>
      </c>
      <c r="F22" t="inlineStr">
        <is>
          <t>અમે આ વર્ષે ભાવનગર જઈ રહ્યા છીએ સુરતથી વડોદરા સુધીની ટિકિટ બુક કરો. જામનગરની બાંધણી બહુ પ્રખ્યાત છે ગાંધીનગરમાં અક્ષરધામ મંદિર જોવા ગયા હતા. પોરબંદરમાં મહાત્મા ગાંધી નો જન્મ સ્થળ છે મારા મિત્ર નું નામ હિતેશ પટેલ છે મીનાબેન અને જયેશભાઈ કાલે આવશે ભૂમિકા કુણાલ અને રાહુલ ત્રણેય સાથે ભણતા હતા. સાપુતારા અને ગિરનાર બંને ફરવા જેવી જગ્યાઓ છે નવરંગપુરા સેટેલાઈટ અને મણિનગર અમદાવાદના વિસ્તારો છે મારા ફોનની બેટરી બહુ જલદી ઉતરી જાય છે આ ફાઈલને ઈમેલ દ્વારા મોકલી આપો વાઇફાઇ નો પાસવર્ડ શું છે આજની મિટિંગ કેન્સલ થઈ ગઈ છે મે નવો લેપટોપ ઓર્ડર કર્યો છે કાલે ડિલિવરી થશે ગુગલે મેપ્સમાં નજીકનું પેટ્રોલ પંપ શોધો મારા એકાઉન્ટમાં પેમેન્ટ હજી પેન્ડિંગ દેખાય છે યુપીઆઈ થી પૈસા મોકલવા માટે ક્યુ આર સ્કેન કરો. ઓનલાઇન ફોર્મ ભરતી વખતે મોબાઈલ નંબર વેરિફાય કરવો પડશે ઇંસ્ટાગ્રામ પર રીલ બહુ વાયરલ થઈ ગઈ આ કોડમાં એક બગ છે હું તેને ફિક્સ કરું છું ઝૂમ પર લિંક શેર કરો હું હમણાં જોઈન કરું છું</t>
        </is>
      </c>
    </row>
    <row r="23">
      <c r="A23" s="2" t="n">
        <v>22</v>
      </c>
      <c r="B23" s="3">
        <f>HYPERLINK("file:///Users/commerciax/proprietary_stt_model/data/processed/wav/guj2_7_8_clean.wav", "▶️ Play guj2_7_8_clean.wav")</f>
        <v/>
      </c>
      <c r="C23" t="inlineStr">
        <is>
          <t>guj2_7_8_clean.wav</t>
        </is>
      </c>
      <c r="D23" t="inlineStr">
        <is>
          <t>Gujarati 🇮🇳 (ગુજરાતી)</t>
        </is>
      </c>
      <c r="E23" s="4" t="n">
        <v>62.176</v>
      </c>
      <c r="F23" t="inlineStr">
        <is>
          <t>પંખો ચાલુ કરો બેડરૂમની લાઈટ બંધ કરો. એસી નું તાપમાન 26 ડિગ્રી કરો. આગલું ગીત વગાડો અવાજ ઓછો કરો. મમ્મી ને ફોન લગાવો ઘરે જવાનો રસ્તો બતાવો. સવારે 6:00 વાગ્યાનો એલાર્મ મૂકો આજના સમાચાર સંભળાવો.'</t>
        </is>
      </c>
    </row>
    <row r="24">
      <c r="A24" s="2" t="n">
        <v>23</v>
      </c>
      <c r="B24" s="3">
        <f>HYPERLINK("file:///Users/commerciax/proprietary_stt_model/data/processed/wav/guj2_9_10_clean.wav", "▶️ Play guj2_9_10_clean.wav")</f>
        <v/>
      </c>
      <c r="C24" t="inlineStr">
        <is>
          <t>guj2_9_10_clean.wav</t>
        </is>
      </c>
      <c r="D24" t="inlineStr">
        <is>
          <t>Gujarati 🇮🇳 (ગુજરાતી)</t>
        </is>
      </c>
      <c r="E24" s="4" t="n">
        <v>60.032</v>
      </c>
      <c r="F24" t="inlineStr">
        <is>
          <t>ગઈકાલે સાંજે અમે બધા મિત્રો ભેગા થયા થોડી વાતો કરી ચા નાસ્તો કર્યો અને પછી મોડી રાત સુધી જુના દિવસોની યાદો તાજા કરી જો વરસાદ સમયસર પડે તો આ વર્ષે ખેડૂતોને સારો પાક મળવાની આશા છે નહિતર ભાવ વધી શકે છે મેં ઘણા સમયથી વિચાર્યું હતું કે નવી ભાષા શીખવી જોઈએ એટલે હવે રોજ અડધો કલાક અભ્યાસ કરવાનું નક્કી કર્યું છે શહેરમાં ટ્રાફિક એટલો વધી ગયો છે કે 15 મિનિટનો રસ્તો કાપવા ક્યારે કલાક નીકળી જાય છે દાદીમાં હંમેશા કહેતા કે મહેનતનો ફળ મળું મળે પણ મીઠું મળે છે તહેવારોના દિવસોમાં ઘરને રંગોળી અને ધોરણથી શણગારવામાં આવે છે અને બધા પરિવારજનો સાથે મળીને મીઠાઈ બનાવે છે કાચું પાપડ પાકો પાપડ છાપરીમાં છ છાલ વાડી છતરી ચંદુ ના ચાચાએ ચાંદીની ચમચી થી ચટણી ચાખી ગધેડાએ ગાજર ચાવીને ગીત ગાયું ઢબુ ઢોલી ઢોલ</t>
        </is>
      </c>
    </row>
    <row r="25">
      <c r="A25" s="2" t="n">
        <v>24</v>
      </c>
      <c r="B25" s="3">
        <f>HYPERLINK("file:///Users/commerciax/proprietary_stt_model/data/processed/wav/hin1_11_12_clean.wav", "▶️ Play hin1_11_12_clean.wav")</f>
        <v/>
      </c>
      <c r="C25" t="inlineStr">
        <is>
          <t>hin1_11_12_clean.wav</t>
        </is>
      </c>
      <c r="D25" t="inlineStr">
        <is>
          <t>Hindi 🇮🇳 (हिंदी)</t>
        </is>
      </c>
      <c r="E25" s="4" t="n">
        <v>52.576</v>
      </c>
      <c r="F25" t="inlineStr">
        <is>
          <t>मेरा नाम रिया है मुंबई किताब की तरह फीमेल का नाम आर ए ए ए है वेबसाइट में पासवर्ड कैपिटल में है फिर नंबर 7 और स्मॉल एक है तुम यहां तुमने बहुत अच्छा किया मुझे यहां बात बिल्कुल अच्छी नहीं लगी नहीं मेरा फोन फिर से बंद हो गया सच में यह खबर बहुत ही अच्छी है क्या तुमने मेरा संदेश</t>
        </is>
      </c>
    </row>
    <row r="26">
      <c r="A26" s="2" t="n">
        <v>25</v>
      </c>
      <c r="B26" s="3">
        <f>HYPERLINK("file:///Users/commerciax/proprietary_stt_model/data/processed/wav/hin1_1_2_clean.wav", "▶️ Play hin1_1_2_clean.wav")</f>
        <v/>
      </c>
      <c r="C26" t="inlineStr">
        <is>
          <t>hin1_1_2_clean.wav</t>
        </is>
      </c>
      <c r="D26" t="inlineStr">
        <is>
          <t>Hindi 🇮🇳 (हिंदी)</t>
        </is>
      </c>
      <c r="E26" s="4" t="n">
        <v>56.448</v>
      </c>
      <c r="F26" t="inlineStr">
        <is>
          <t>कैमरा किताब बारिश सुबह दोस्त शिक्षक स्टेशन नदी पहाड़ तस्वीर खाना दुकान पक्षी सुबह पेड़ पर चढ़ जा रहे हैं भैया ने मेरी भरी बैठ कर बाहर रखा चिड़िया छत पर बैठकर दाना चुग रही है खेत के पास पहुंच गया ठंडी बढ़ाने पर लोग गर्म कपड़े पहनने लगे करने से गुजरने के पास बैठ कर सभी ने पानी पिया ज्ञानी व्यक्ति ध्यान और धैर्य से काम करता है शिक्षक ने प्रश्न का उत्तर ध्यान से समझाया श्रमिक सुबह जल्दी काम पर पहुंच गए प्रार्थना के बाद सभी श्रद्धालु मंदिर से</t>
        </is>
      </c>
    </row>
    <row r="27">
      <c r="A27" s="2" t="n">
        <v>26</v>
      </c>
      <c r="B27" s="3">
        <f>HYPERLINK("file:///Users/commerciax/proprietary_stt_model/data/processed/wav/hin1_3_4_clean.wav", "▶️ Play hin1_3_4_clean.wav")</f>
        <v/>
      </c>
      <c r="C27" t="inlineStr">
        <is>
          <t>hin1_3_4_clean.wav</t>
        </is>
      </c>
      <c r="D27" t="inlineStr">
        <is>
          <t>Hindi 🇮🇳 (हिंदी)</t>
        </is>
      </c>
      <c r="E27" s="4" t="n">
        <v>122.912</v>
      </c>
      <c r="F27" t="inlineStr">
        <is>
          <t>फोन नंबर 97641 82430 8832741 6 1 1 4 ओटीजी 639248 048319 पिन कोड 4 नंबर 1 2 3 4 5 6 7 12 अंकों का काल्पनिक नंबर 7 इस महीने में मेरा बिजली का बिल 200320 आया उसने नई बाइक 72000 में खरीदी आज तारीख 28 सितंबर है छुट्टियां 10 नवंबर से शुरू होगी शाम 6:30 डॉक्टर से मिलने जाना है रात 9:45 मुझे वापस घर पहुंचना है 4 एम लंबी रस्सी चाहिए आज अधिकतम तापमान 32 डिग्री रहेगा बाजार से 2 किलो चावल और आधा किलो 60% है नासिक यहां से झांसी किलोमीटर दूर है</t>
        </is>
      </c>
    </row>
    <row r="28">
      <c r="A28" s="2" t="n">
        <v>27</v>
      </c>
      <c r="B28" s="3">
        <f>HYPERLINK("file:///Users/commerciax/proprietary_stt_model/data/processed/wav/hin1_5_6_clean.wav", "▶️ Play hin1_5_6_clean.wav")</f>
        <v/>
      </c>
      <c r="C28" t="inlineStr">
        <is>
          <t>hin1_5_6_clean.wav</t>
        </is>
      </c>
      <c r="D28" t="inlineStr">
        <is>
          <t>Hindi 🇮🇳 (हिंदी)</t>
        </is>
      </c>
      <c r="E28" s="4" t="n">
        <v>89.024</v>
      </c>
      <c r="F28" t="inlineStr">
        <is>
          <t>हम अगले महीने अहमदाबाद जा रहे हैं नागपुर से भोपाल की ट्रेन सुबह निकलती है उदयपुर की जिले बहुत सुंदर है कोलकाता में विक्टोरिया मेमोरियल देखने गए थे साबरमती नदी अहमदाबाद से होकर गुजरती है नेहा और अमित आज शाम आएंगे प्रिय मोहित और कारण एक ही कक्षा में पढ़ते हैं शिमला और मनाली दोनों लोकप्रिय पर्यटन स्थल है वडाला घाटकोपर और कुर्ला मुंबई के इलाके है मेरे फोन का चार्जर घर पर रह गया इस डॉक्यूमेंट को ईमेल में अटैच कर देना वाई-फाई की स्पीड आज बहुत स्लो है कल की मीटिंग सुबह 10:00 बजे होगी मैंने नया कीबोर्ड ऑनलाइन ऑर्डर किया है गूगल मैप्स में नियरेस्ट रेस्टोरेंट खोजो मेरे अकाउंट में पेमेंट करने के लिए कर कोड स्कैन करो लोगिन करने के बाद अपना मोबाइल नंबर वेरीफाई करें यूट्यूब पर वीडियो बहुत तेजी से वायरल हो रहा है इस वेबसाइट में एक स्मॉल बाग मिला है जूम मीटिंग का लिंक मुझे व्हाट्सएप</t>
        </is>
      </c>
    </row>
    <row r="29">
      <c r="A29" s="2" t="n">
        <v>28</v>
      </c>
      <c r="B29" s="3">
        <f>HYPERLINK("file:///Users/commerciax/proprietary_stt_model/data/processed/wav/hin1_7_8_clean.wav", "▶️ Play hin1_7_8_clean.wav")</f>
        <v/>
      </c>
      <c r="C29" t="inlineStr">
        <is>
          <t>hin1_7_8_clean.wav</t>
        </is>
      </c>
      <c r="D29" t="inlineStr">
        <is>
          <t>Hindi 🇮🇳 (हिंदी)</t>
        </is>
      </c>
      <c r="E29" s="4" t="n">
        <v>64.128</v>
      </c>
      <c r="F29" t="inlineStr">
        <is>
          <t>कमरे की खिड़की खोलो रसोई की लाइट चालू करो पंखे की स्पीड तीन पर करो अगला वीडियो चलाओ आवाज थोड़ा बढ़ाओ पापा को फोन मिलाओ ऑफिस जाने का रास्ता दिखाओ शाम 7:00 रिमाइंडर लगाओ आज की मुख्य खबरें पढ़ कर सुनाओ ब्लूटूथ चालू करो कल सुबह बारिश होगी क्या खरीदारी की सूची में साबुन और फल जोड़ो आज का दिन कैसा रहा नाश्ते में क्या खाया चलो थोड़ी देर बाहर घूमने चलते हैं मैं आज ऑफिस से थोड़ा देर से निकलेगा आज मौसम काफी सुहाना है ना आप कहां जा रहे हो और कितने बजे लौट आओगे मुझे यह जगह पहली बार देखने को मिला जरा रुक मैं अभी आता हूं इस रविवार को घर पर मिलकर खाना बनाते हैं आपकी मदद के लिए बहुत धन्यवाद</t>
        </is>
      </c>
    </row>
    <row r="30">
      <c r="A30" s="2" t="n">
        <v>29</v>
      </c>
      <c r="B30" s="3">
        <f>HYPERLINK("file:///Users/commerciax/proprietary_stt_model/data/processed/wav/hin1_9_10_clean.wav", "▶️ Play hin1_9_10_clean.wav")</f>
        <v/>
      </c>
      <c r="C30" t="inlineStr">
        <is>
          <t>hin1_9_10_clean.wav</t>
        </is>
      </c>
      <c r="D30" t="inlineStr">
        <is>
          <t>Hindi 🇮🇳 (हिंदी)</t>
        </is>
      </c>
      <c r="E30" s="4" t="n">
        <v>88.44799999999999</v>
      </c>
      <c r="F30" t="inlineStr">
        <is>
          <t>कल सुबह में जल्दी उठ नाश्ता किया जरूरी काम पूरे किए और फिर दोपहर में दोस्तों से मिलने बाहर चली गई अगर मौसम साफ रहा तो हम सप्ताह में पास के पहाड़ों पर घूमने जाने की योजना बना रहे हैं मैंने तय किया है कि रोज थोड़ा समय पढ़ने और नई चीज़ सीखने के लिए जरूर निकाल लूंगी शहर में वाहनों की संख्या कितनी बढ़ गई है कि व्यस्त समय में छोटी दूरी तय करने में भी काफी समय लग जाता है मैं हमेशा से समझती थी कि किसी भी काम को जल्दी खत्म करने से ज्यादा जरूरी है उसे सही तरीके से पूरा करना त्यौहार के दिन सुबह ही घर में सफाई सजावट खाना बनाने और मेहमानों के आने की तैयारी शुरू हो जाती है अगर तुम समय पर स्टेशन पहुंच जाओ तो टिकट लेकर प्लेटफार्म पर मेरा इंतजार करना नई नौकरी शुरू करने से पहले मैंने कंपनी टीम और काम की इसी में दारू के बारे में अच्छी तरह जानकारी नहीं चाहिए पका पपीता पपीता पपीता का पका पेड़ टोपी पहन कर टीकू टहलने निकल गया जल्दी जल्दी खाया राधा रोज रंग बिरंगी रुमाल लगती है और चलो</t>
        </is>
      </c>
    </row>
    <row r="31">
      <c r="A31" s="2" t="n">
        <v>30</v>
      </c>
      <c r="B31" s="3">
        <f>HYPERLINK("file:///Users/commerciax/proprietary_stt_model/data/processed/wav/hin2_11_12_clean.wav", "▶️ Play hin2_11_12_clean.wav")</f>
        <v/>
      </c>
      <c r="C31" t="inlineStr">
        <is>
          <t>hin2_11_12_clean.wav</t>
        </is>
      </c>
      <c r="D31" t="inlineStr">
        <is>
          <t>Hindi 🇮🇳 (हिंदी)</t>
        </is>
      </c>
      <c r="E31" s="4" t="n">
        <v>31.872</v>
      </c>
      <c r="F31" t="inlineStr">
        <is>
          <t>मेरा नाम सहारा है एस ए आर दिल्ली दिल्ली सारा है वेबसाइट www.example.com तुम आ गए वह यह तो बहुत अच्छा है मुझे यह बिल्कुल पसंद नहीं आया अरे फिर से देर हो गई</t>
        </is>
      </c>
    </row>
    <row r="32">
      <c r="A32" s="2" t="n">
        <v>31</v>
      </c>
      <c r="B32" s="3">
        <f>HYPERLINK("file:///Users/commerciax/proprietary_stt_model/data/processed/wav/hin2_1_2_clean.wav", "▶️ Play hin2_1_2_clean.wav")</f>
        <v/>
      </c>
      <c r="C32" t="inlineStr">
        <is>
          <t>hin2_1_2_clean.wav</t>
        </is>
      </c>
      <c r="D32" t="inlineStr">
        <is>
          <t>Hindi 🇮🇳 (हिंदी)</t>
        </is>
      </c>
      <c r="E32" s="4" t="n">
        <v>50.048</v>
      </c>
      <c r="F32" t="inlineStr">
        <is>
          <t>पानी घर चाय रास्ता खुशी विद्यार्थी गाड़ी बाजार आकाश मोबाइल किस खेत में हाल चल रहा है घड़ी में टिक टिक तक तक की आवाज आ रही है बच्चे पेड़ पर चढ़कर फल तोड़ रहे हैं भगवान को धूप और दीपक चढ़ाया बच्चे ढोल और ढोलक की ताल पर नाचे ठंडी हवा चलने से पत्ते गिर पड़े मेरे पास ज्ञान और धैर्य तीनों है कृष्ण और ऋषि की कहानी दादी ने सुनाई श्रवण के महीने में श्रद्धालु शिव मंदिर जाते हैं नल वाले पुराने मकान में काली बिल्ली आंगन में गिर</t>
        </is>
      </c>
    </row>
    <row r="33">
      <c r="A33" s="2" t="n">
        <v>32</v>
      </c>
      <c r="B33" s="3">
        <f>HYPERLINK("file:///Users/commerciax/proprietary_stt_model/data/processed/wav/hin2_3_4_clean.wav", "▶️ Play hin2_3_4_clean.wav")</f>
        <v/>
      </c>
      <c r="C33" t="inlineStr">
        <is>
          <t>hin2_3_4_clean.wav</t>
        </is>
      </c>
      <c r="D33" t="inlineStr">
        <is>
          <t>Hindi 🇮🇳 (हिंदी)</t>
        </is>
      </c>
      <c r="E33" s="4" t="n">
        <v>110.72</v>
      </c>
      <c r="F33" t="inlineStr">
        <is>
          <t>फोन नंबर 98240 1 2 3 4 5 7 8 7 8 6 5 4 3 2 1 ओटीपी 482917 073561 पिन कोड 3807 वाहन नंबर 2 3 4 5 6 7 8 9 0 1 2 3 मेरा दिल 1850 आया उसने 12:30 में जमीन भेजिए आज तारीख 15 अगस्त है परीक्षा 2 मार्च से शुरू होगी ट्रेनर</t>
        </is>
      </c>
    </row>
    <row r="34">
      <c r="A34" s="2" t="n">
        <v>33</v>
      </c>
      <c r="B34" s="3">
        <f>HYPERLINK("file:///Users/commerciax/proprietary_stt_model/data/processed/wav/hin2_5_6_clean.wav", "▶️ Play hin2_5_6_clean.wav")</f>
        <v/>
      </c>
      <c r="C34" t="inlineStr">
        <is>
          <t>hin2_5_6_clean.wav</t>
        </is>
      </c>
      <c r="D34" t="inlineStr">
        <is>
          <t>Hindi 🇮🇳 (हिंदी)</t>
        </is>
      </c>
      <c r="E34" s="4" t="n">
        <v>93.056</v>
      </c>
      <c r="F34" t="inlineStr">
        <is>
          <t>इस साल हम जयपुर जा रहे हैं मुंबई से पुणे तक की टिकट बुक करो वाराणसी की साड़ियां बहुत प्रसिद्ध है दिल्ली में लाल किला देखने गए थे पोरबंदर महात्मा गांधी का जन्म स्थान है मेरे दोस्त का नाम हितेश पटेल है मीना बहन और जयेश भाई कल आएंगे भूमिका कुणाल और राहुल तीनों साथ पढ़ते हैं नैनीताल और मसूरी दोनों घूमने लायक जगह है अंधेरी बांद्रा और दादर मुंबई के इलाके है मेरे फोन की बैटरी बहुत जल्दी खत्म हो जाती है इस फाइल को ईमेल के जरिए भेज दो वाई-फाई का पासवर्ड क्या है आज की मीटिंग कैंसिल हो गई है मैंने नया लैपटॉप आर्डर किया है कर डिलीवरी हो जाएगी गूगल मैप्स में पास का पेट्रोल पंप खोजो मेरे अकाउंट में पेमेंट दिख रहा है पैसे भेजने के लिए कर कोड स्कैन करो ऑनलाइन फॉर्म भरते समय मोबाइल नंबर वेरीफाई करना होगा इंस्टाग्राम शेयर करो मैं अभी जॉइन करता हूं</t>
        </is>
      </c>
    </row>
    <row r="35">
      <c r="A35" s="2" t="n">
        <v>34</v>
      </c>
      <c r="B35" s="3">
        <f>HYPERLINK("file:///Users/commerciax/proprietary_stt_model/data/processed/wav/hin2_7_8_clean.wav", "▶️ Play hin2_7_8_clean.wav")</f>
        <v/>
      </c>
      <c r="C35" t="inlineStr">
        <is>
          <t>hin2_7_8_clean.wav</t>
        </is>
      </c>
      <c r="D35" t="inlineStr">
        <is>
          <t>Hindi 🇮🇳 (हिंदी)</t>
        </is>
      </c>
      <c r="E35" s="4" t="n">
        <v>63.104</v>
      </c>
      <c r="F35" t="inlineStr">
        <is>
          <t>पंखा चालू करो बेडरूम की लाइट बंद करो एक का तापमान 26 डिग्री करो अगला गाना बजाओ आवाज कम करो मम्मी को फोन लगाओ घर जाने का रास्ता दिखाओ सुबह 6:00 का अलार्म लगाओ आज की खबरें सुनाओ टॉर्च चालू करो कल का मौसम कैसा रहेगा खरीदारी की सूची में दूध और ब्रेड जोड़ो कैसे हो मजे में हो आज खाने में क्या बनाया है चलो चाय पीने चलते हैं मैं थोड़ा देर से पहुंच जाऊंगा आप खाना खा लेना आज तो बहुत गर्मी है ना आपका नाम क्या है और आपका कहां रहते हैं मुझे यह चीज बहुत पसंद आए रविवार को हम सब साथ में खाने मिलेंगे आपका बहुत बहुत धन्यवाद आपने बहुत मदद की है</t>
        </is>
      </c>
    </row>
    <row r="36">
      <c r="A36" s="2" t="n">
        <v>35</v>
      </c>
      <c r="B36" s="3">
        <f>HYPERLINK("file:///Users/commerciax/proprietary_stt_model/data/processed/wav/hin2_9_10_clean.wav", "▶️ Play hin2_9_10_clean.wav")</f>
        <v/>
      </c>
      <c r="C36" t="inlineStr">
        <is>
          <t>hin2_9_10_clean.wav</t>
        </is>
      </c>
      <c r="D36" t="inlineStr">
        <is>
          <t>Hindi 🇮🇳 (हिंदी)</t>
        </is>
      </c>
      <c r="E36" s="4" t="n">
        <v>75.93600000000001</v>
      </c>
      <c r="F36" t="inlineStr">
        <is>
          <t>श्याम हम सभी दोस्त इकट्ठा हुए थोड़ी बातें की चाय नाश्ता किया और फिर देर रात तक पुरानी दोनों की यादें ताजा कि अगर अगर बारिश समय पर हो जाए तो इस साल किसने की अच्छी फसल मिलने की उम्मीद है वरना दाम बढ़ सकते हैं मैंने काफी समय से सोचा था की नई भाषा सीखनी चाहिए इसीलिए अब रोज आधा घंटा पढ़ाई करने का फैसला किया है शहर में ट्रैफिक इतना बढ़ गया है कि 15 मिनट का रास्ता तय करने में कभी-कभी एक घंटा लग जाता है दादी हमेशा कहती थी की मेहनत का फल देर से मिलता है लेकिन मीठा मिलता है त्यौहार के दिनों में घर को रंगोली और तोरण से सजाया जाता है और सभी परिवार वाले मिलकर मिठाई बनाते हैं चंदू के चाचा ने चांदी की चम्मच से चटनी चक्की खाकर गाना गया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2026-10-05T10:16:40Z</dcterms:created>
  <dcterms:modified xsi:type="dcterms:W3CDTF">2026-10-05T10:16:40Z</dcterms:modified>
</cp:coreProperties>
</file>